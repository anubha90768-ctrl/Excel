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Excel assignment\"/>
    </mc:Choice>
  </mc:AlternateContent>
  <xr:revisionPtr revIDLastSave="0" documentId="13_ncr:1_{B73C9D00-DFCE-47E5-9B44-3F9DAD984746}" xr6:coauthVersionLast="47" xr6:coauthVersionMax="47" xr10:uidLastSave="{00000000-0000-0000-0000-000000000000}"/>
  <bookViews>
    <workbookView xWindow="-108" yWindow="-108" windowWidth="23256" windowHeight="12456" xr2:uid="{7ABADA0D-87E2-4E78-A597-AE20A343EF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7" i="1" l="1"/>
  <c r="B107" i="1"/>
  <c r="B97" i="1"/>
  <c r="E83" i="1"/>
  <c r="E85" i="1"/>
  <c r="E84" i="1"/>
  <c r="D4" i="1"/>
  <c r="B45" i="1"/>
  <c r="D30" i="1"/>
  <c r="D31" i="1"/>
  <c r="D32" i="1"/>
  <c r="D33" i="1"/>
  <c r="D34" i="1"/>
  <c r="E17" i="1"/>
  <c r="E18" i="1"/>
  <c r="E19" i="1"/>
  <c r="E16" i="1"/>
  <c r="D5" i="1"/>
  <c r="D6" i="1"/>
  <c r="D7" i="1"/>
  <c r="D8" i="1"/>
  <c r="B36" i="1"/>
</calcChain>
</file>

<file path=xl/sharedStrings.xml><?xml version="1.0" encoding="utf-8"?>
<sst xmlns="http://schemas.openxmlformats.org/spreadsheetml/2006/main" count="102" uniqueCount="72">
  <si>
    <t>Student Name</t>
  </si>
  <si>
    <t>Marks</t>
  </si>
  <si>
    <t>Riya</t>
  </si>
  <si>
    <t>Siya</t>
  </si>
  <si>
    <t>Raju</t>
  </si>
  <si>
    <t>Rahul</t>
  </si>
  <si>
    <t>Ram</t>
  </si>
  <si>
    <t>Write a formula to check if the marks in cell B2 are greater than or equal to 40. If yes,  Pass, otherwise "Fail".</t>
  </si>
  <si>
    <t>answer-</t>
  </si>
  <si>
    <t>formula to calculate whether the employee will get a bonus or not .</t>
  </si>
  <si>
    <t>Employee</t>
  </si>
  <si>
    <t>Sales</t>
  </si>
  <si>
    <t>Arjun</t>
  </si>
  <si>
    <t>Simran</t>
  </si>
  <si>
    <t>Rohit</t>
  </si>
  <si>
    <t>Anjali</t>
  </si>
  <si>
    <t xml:space="preserve">A company gives a bonus  if sales are above 40,000 and attendance is greater than or equal to 90%. Write a </t>
  </si>
  <si>
    <t>Write a nested If formula:</t>
  </si>
  <si>
    <t xml:space="preserve">Student Name </t>
  </si>
  <si>
    <t>Raj</t>
  </si>
  <si>
    <t>Neha</t>
  </si>
  <si>
    <t>Vivek</t>
  </si>
  <si>
    <t>Rani</t>
  </si>
  <si>
    <t>Sneha</t>
  </si>
  <si>
    <t>Find the Department of Employee ID = E103. Also explain which LOOKUP function is used and why?</t>
  </si>
  <si>
    <t>EmpID</t>
  </si>
  <si>
    <t>Name</t>
  </si>
  <si>
    <t>Department</t>
  </si>
  <si>
    <t>E101</t>
  </si>
  <si>
    <t>E102</t>
  </si>
  <si>
    <t>E103</t>
  </si>
  <si>
    <t>E104</t>
  </si>
  <si>
    <t>Roshni</t>
  </si>
  <si>
    <t>Sejal</t>
  </si>
  <si>
    <t>IT</t>
  </si>
  <si>
    <t>HR</t>
  </si>
  <si>
    <t>Finance</t>
  </si>
  <si>
    <t>Result</t>
  </si>
  <si>
    <t>ANSWER-</t>
  </si>
  <si>
    <t>Attendence</t>
  </si>
  <si>
    <t>Bonus/no bonus</t>
  </si>
  <si>
    <t>If marks in B2 are ≥ 90 →"A" , ≥ 75 → "B", ≥ 50 →"C" , otherwise "FAIL".</t>
  </si>
  <si>
    <t>GRADES</t>
  </si>
  <si>
    <t>EXPLAINATION-We need to find a value(department)based on a secific criteria(employee id=E103).</t>
  </si>
  <si>
    <t>The  data is in the tale  with multiple columns.</t>
  </si>
  <si>
    <t>VLOOKUP searches for the criteria  in the first colmns(Employee id)and returnns a value from anothercolumn(department).</t>
  </si>
  <si>
    <t>5-company has set the following commission structure for its sales team:</t>
  </si>
  <si>
    <t>Sales Amount</t>
  </si>
  <si>
    <t>Commission Rate</t>
  </si>
  <si>
    <t>If a salesperson achieves sales of ₹45,000, use the VLOOKUP function to determine the commission rate </t>
  </si>
  <si>
    <t>applicable</t>
  </si>
  <si>
    <t>6-</t>
  </si>
  <si>
    <t>The HR department maintains the following leave records of employees:onus or not .</t>
  </si>
  <si>
    <t>Employee Name</t>
  </si>
  <si>
    <t>Leaves Taken</t>
  </si>
  <si>
    <t>Leaves Allowed</t>
  </si>
  <si>
    <t>Alex</t>
  </si>
  <si>
    <t>Bob</t>
  </si>
  <si>
    <t>Anna</t>
  </si>
  <si>
    <t>Write an IF function to check whether an employee has Exceeded their allowed leave balance.</t>
  </si>
  <si>
    <t>If Leaves Taken &gt; Allowed Leaves, display "Exceeded".</t>
  </si>
  <si>
    <t>Otherwise, display "OK". </t>
  </si>
  <si>
    <t>7-</t>
  </si>
  <si>
    <t>Find the salary of EmpID = E105 using INDEX-MATCH Function.</t>
  </si>
  <si>
    <t>Salary</t>
  </si>
  <si>
    <t>E105</t>
  </si>
  <si>
    <t>E106</t>
  </si>
  <si>
    <t>Answer-</t>
  </si>
  <si>
    <t>8-</t>
  </si>
  <si>
    <t>Use the XLOOKUP function to find the Department of the employee with Emp ID = E303.</t>
  </si>
  <si>
    <t>E303</t>
  </si>
  <si>
    <t>E301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</si>
</sst>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wrapText="1"/>
    </xf>
    <xf numFmtId="0" fontId="0" fillId="0" borderId="0" xfId="0"/>
    <xf numFmtId="0" fontId="0" fillId="0" borderId="0" xfId="0" applyBorder="1"/>
    <xf numFmtId="0" fontId="1" fillId="0" borderId="1" xfId="0" applyFont="1" applyFill="1" applyBorder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0496-BD2C-4243-AAA2-8A1FA2B0CC6A}">
  <dimension ref="A1:AM107"/>
  <sheetViews>
    <sheetView tabSelected="1" workbookViewId="0">
      <selection activeCell="D68" sqref="D68"/>
    </sheetView>
  </sheetViews>
  <sheetFormatPr defaultRowHeight="14.4" x14ac:dyDescent="0.3"/>
  <cols>
    <col min="2" max="2" width="14.109375" customWidth="1"/>
    <col min="3" max="3" width="15.109375" bestFit="1" customWidth="1"/>
    <col min="4" max="4" width="13.109375" customWidth="1"/>
    <col min="5" max="5" width="14.109375" bestFit="1" customWidth="1"/>
  </cols>
  <sheetData>
    <row r="1" spans="1:39" x14ac:dyDescent="0.3">
      <c r="A1">
        <v>1</v>
      </c>
      <c r="B1" s="4" t="s">
        <v>7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3" spans="1:39" x14ac:dyDescent="0.3">
      <c r="A3" t="s">
        <v>38</v>
      </c>
      <c r="B3" s="1" t="s">
        <v>0</v>
      </c>
      <c r="C3" s="1" t="s">
        <v>1</v>
      </c>
      <c r="D3" s="1" t="s">
        <v>37</v>
      </c>
    </row>
    <row r="4" spans="1:39" x14ac:dyDescent="0.3">
      <c r="B4" s="2" t="s">
        <v>2</v>
      </c>
      <c r="C4" s="2">
        <v>45</v>
      </c>
      <c r="D4" s="2" t="str">
        <f>IF(C4&gt;=40,"PASS","FAIL")</f>
        <v>PASS</v>
      </c>
    </row>
    <row r="5" spans="1:39" x14ac:dyDescent="0.3">
      <c r="B5" s="2" t="s">
        <v>3</v>
      </c>
      <c r="C5" s="2">
        <v>72</v>
      </c>
      <c r="D5" s="2" t="str">
        <f t="shared" ref="D5:D8" si="0">IF(C5&gt;=40,"PASS","FAIL")</f>
        <v>PASS</v>
      </c>
    </row>
    <row r="6" spans="1:39" x14ac:dyDescent="0.3">
      <c r="B6" s="2" t="s">
        <v>4</v>
      </c>
      <c r="C6" s="2">
        <v>55</v>
      </c>
      <c r="D6" s="2" t="str">
        <f t="shared" si="0"/>
        <v>PASS</v>
      </c>
    </row>
    <row r="7" spans="1:39" x14ac:dyDescent="0.3">
      <c r="B7" s="2" t="s">
        <v>5</v>
      </c>
      <c r="C7" s="2">
        <v>80</v>
      </c>
      <c r="D7" s="2" t="str">
        <f t="shared" si="0"/>
        <v>PASS</v>
      </c>
    </row>
    <row r="8" spans="1:39" x14ac:dyDescent="0.3">
      <c r="B8" s="2" t="s">
        <v>6</v>
      </c>
      <c r="C8" s="2">
        <v>30</v>
      </c>
      <c r="D8" s="2" t="str">
        <f t="shared" si="0"/>
        <v>FAIL</v>
      </c>
    </row>
    <row r="12" spans="1:39" x14ac:dyDescent="0.3">
      <c r="A12">
        <v>2</v>
      </c>
      <c r="B12" t="s">
        <v>16</v>
      </c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</row>
    <row r="13" spans="1:39" x14ac:dyDescent="0.3">
      <c r="B13" t="s">
        <v>9</v>
      </c>
    </row>
    <row r="15" spans="1:39" x14ac:dyDescent="0.3">
      <c r="B15" s="1" t="s">
        <v>10</v>
      </c>
      <c r="C15" s="1" t="s">
        <v>11</v>
      </c>
      <c r="D15" s="1" t="s">
        <v>39</v>
      </c>
      <c r="E15" s="6" t="s">
        <v>40</v>
      </c>
    </row>
    <row r="16" spans="1:39" x14ac:dyDescent="0.3">
      <c r="A16" t="s">
        <v>38</v>
      </c>
      <c r="B16" s="2" t="s">
        <v>12</v>
      </c>
      <c r="C16" s="2">
        <v>55000</v>
      </c>
      <c r="D16" s="2">
        <v>95</v>
      </c>
      <c r="E16" s="2" t="str">
        <f>IF(AND(C16&gt;40000,D16&gt;=90),"bonus","no bonus")</f>
        <v>bonus</v>
      </c>
    </row>
    <row r="17" spans="1:22" x14ac:dyDescent="0.3">
      <c r="B17" s="2" t="s">
        <v>13</v>
      </c>
      <c r="C17" s="2">
        <v>65000</v>
      </c>
      <c r="D17" s="2">
        <v>85</v>
      </c>
      <c r="E17" s="2" t="str">
        <f t="shared" ref="E17:E19" si="1">IF(AND(C17&gt;40000,D17&gt;=90),"bonus","no bonus")</f>
        <v>no bonus</v>
      </c>
    </row>
    <row r="18" spans="1:22" x14ac:dyDescent="0.3">
      <c r="B18" s="2" t="s">
        <v>14</v>
      </c>
      <c r="C18" s="2">
        <v>30000</v>
      </c>
      <c r="D18" s="2">
        <v>90</v>
      </c>
      <c r="E18" s="2" t="str">
        <f t="shared" si="1"/>
        <v>no bonus</v>
      </c>
    </row>
    <row r="19" spans="1:22" x14ac:dyDescent="0.3">
      <c r="B19" s="2" t="s">
        <v>15</v>
      </c>
      <c r="C19" s="2">
        <v>25000</v>
      </c>
      <c r="D19" s="2">
        <v>65</v>
      </c>
      <c r="E19" s="2" t="str">
        <f t="shared" si="1"/>
        <v>no bonus</v>
      </c>
    </row>
    <row r="24" spans="1:22" ht="14.4" customHeight="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P24" s="3"/>
      <c r="Q24" s="3"/>
      <c r="R24" s="3"/>
      <c r="S24" s="3"/>
      <c r="T24" s="3"/>
      <c r="U24" s="3"/>
      <c r="V24" s="3"/>
    </row>
    <row r="26" spans="1:22" x14ac:dyDescent="0.3">
      <c r="A26">
        <v>3</v>
      </c>
      <c r="B26" t="s">
        <v>17</v>
      </c>
    </row>
    <row r="27" spans="1:22" x14ac:dyDescent="0.3">
      <c r="B27" t="s">
        <v>41</v>
      </c>
    </row>
    <row r="29" spans="1:22" x14ac:dyDescent="0.3">
      <c r="A29" t="s">
        <v>38</v>
      </c>
      <c r="B29" s="1" t="s">
        <v>18</v>
      </c>
      <c r="C29" s="1" t="s">
        <v>1</v>
      </c>
      <c r="D29" s="1" t="s">
        <v>42</v>
      </c>
    </row>
    <row r="30" spans="1:22" x14ac:dyDescent="0.3">
      <c r="B30" s="2" t="s">
        <v>19</v>
      </c>
      <c r="C30" s="2">
        <v>85</v>
      </c>
      <c r="D30" s="2" t="str">
        <f>IF(C30&gt;=90,"A",IF(C30&gt;=75,"B",IF(C30&gt;=50,"C","FAIL")))</f>
        <v>B</v>
      </c>
    </row>
    <row r="31" spans="1:22" x14ac:dyDescent="0.3">
      <c r="B31" s="2" t="s">
        <v>20</v>
      </c>
      <c r="C31" s="2">
        <v>96</v>
      </c>
      <c r="D31" s="2" t="str">
        <f t="shared" ref="D31:D34" si="2">IF(C31&gt;=90,"A",IF(C31&gt;=75,"B",IF(C31&gt;=50,"C","FAIL")))</f>
        <v>A</v>
      </c>
    </row>
    <row r="32" spans="1:22" x14ac:dyDescent="0.3">
      <c r="B32" s="2" t="s">
        <v>21</v>
      </c>
      <c r="C32" s="2">
        <v>57</v>
      </c>
      <c r="D32" s="2" t="str">
        <f t="shared" si="2"/>
        <v>C</v>
      </c>
    </row>
    <row r="33" spans="1:4" x14ac:dyDescent="0.3">
      <c r="B33" s="2" t="s">
        <v>22</v>
      </c>
      <c r="C33" s="2">
        <v>92</v>
      </c>
      <c r="D33" s="2" t="str">
        <f t="shared" si="2"/>
        <v>A</v>
      </c>
    </row>
    <row r="34" spans="1:4" x14ac:dyDescent="0.3">
      <c r="B34" s="2" t="s">
        <v>23</v>
      </c>
      <c r="C34" s="2">
        <v>75</v>
      </c>
      <c r="D34" s="2" t="str">
        <f t="shared" si="2"/>
        <v>B</v>
      </c>
    </row>
    <row r="36" spans="1:4" x14ac:dyDescent="0.3">
      <c r="A36" t="s">
        <v>8</v>
      </c>
      <c r="B36" t="str">
        <f>IF(C30&gt;=90,"A",IF(C30&gt;=75,"B",IF(C30&gt;=50,"C","D")))</f>
        <v>B</v>
      </c>
    </row>
    <row r="38" spans="1:4" x14ac:dyDescent="0.3">
      <c r="A38">
        <v>4</v>
      </c>
      <c r="B38" t="s">
        <v>24</v>
      </c>
    </row>
    <row r="39" spans="1:4" x14ac:dyDescent="0.3">
      <c r="B39" s="1" t="s">
        <v>25</v>
      </c>
      <c r="C39" s="1" t="s">
        <v>26</v>
      </c>
      <c r="D39" s="1" t="s">
        <v>27</v>
      </c>
    </row>
    <row r="40" spans="1:4" x14ac:dyDescent="0.3">
      <c r="B40" s="2" t="s">
        <v>28</v>
      </c>
      <c r="C40" s="2" t="s">
        <v>4</v>
      </c>
      <c r="D40" s="2" t="s">
        <v>34</v>
      </c>
    </row>
    <row r="41" spans="1:4" x14ac:dyDescent="0.3">
      <c r="B41" s="2" t="s">
        <v>29</v>
      </c>
      <c r="C41" s="2" t="s">
        <v>2</v>
      </c>
      <c r="D41" s="2" t="s">
        <v>35</v>
      </c>
    </row>
    <row r="42" spans="1:4" x14ac:dyDescent="0.3">
      <c r="B42" s="2" t="s">
        <v>30</v>
      </c>
      <c r="C42" s="2" t="s">
        <v>32</v>
      </c>
      <c r="D42" s="2" t="s">
        <v>36</v>
      </c>
    </row>
    <row r="43" spans="1:4" x14ac:dyDescent="0.3">
      <c r="B43" s="2" t="s">
        <v>31</v>
      </c>
      <c r="C43" s="2" t="s">
        <v>33</v>
      </c>
      <c r="D43" s="2" t="s">
        <v>11</v>
      </c>
    </row>
    <row r="45" spans="1:4" x14ac:dyDescent="0.3">
      <c r="A45" t="s">
        <v>38</v>
      </c>
      <c r="B45" t="str">
        <f>VLOOKUP(B42,B40:D43,3,FALSE)</f>
        <v>Finance</v>
      </c>
    </row>
    <row r="46" spans="1:4" x14ac:dyDescent="0.3">
      <c r="A46" t="s">
        <v>43</v>
      </c>
      <c r="B46" s="3"/>
    </row>
    <row r="47" spans="1:4" x14ac:dyDescent="0.3">
      <c r="A47" t="s">
        <v>44</v>
      </c>
    </row>
    <row r="48" spans="1:4" x14ac:dyDescent="0.3">
      <c r="A48" t="s">
        <v>45</v>
      </c>
    </row>
    <row r="49" spans="1:3" x14ac:dyDescent="0.3">
      <c r="A49" s="3"/>
    </row>
    <row r="50" spans="1:3" x14ac:dyDescent="0.3">
      <c r="A50" t="s">
        <v>46</v>
      </c>
    </row>
    <row r="52" spans="1:3" x14ac:dyDescent="0.3">
      <c r="B52" s="1" t="s">
        <v>47</v>
      </c>
      <c r="C52" s="1" t="s">
        <v>48</v>
      </c>
    </row>
    <row r="53" spans="1:3" x14ac:dyDescent="0.3">
      <c r="B53" s="2">
        <v>0</v>
      </c>
      <c r="C53" s="7">
        <v>0.05</v>
      </c>
    </row>
    <row r="54" spans="1:3" x14ac:dyDescent="0.3">
      <c r="B54" s="2">
        <v>20000</v>
      </c>
      <c r="C54" s="7">
        <v>0.1</v>
      </c>
    </row>
    <row r="55" spans="1:3" x14ac:dyDescent="0.3">
      <c r="B55" s="2">
        <v>50000</v>
      </c>
      <c r="C55" s="7">
        <v>0.15</v>
      </c>
    </row>
    <row r="56" spans="1:3" x14ac:dyDescent="0.3">
      <c r="B56" s="2">
        <v>80000</v>
      </c>
      <c r="C56" s="7">
        <v>0.2</v>
      </c>
    </row>
    <row r="58" spans="1:3" x14ac:dyDescent="0.3">
      <c r="A58" t="s">
        <v>49</v>
      </c>
    </row>
    <row r="59" spans="1:3" x14ac:dyDescent="0.3">
      <c r="A59" t="s">
        <v>50</v>
      </c>
    </row>
    <row r="61" spans="1:3" x14ac:dyDescent="0.3">
      <c r="A61" t="s">
        <v>38</v>
      </c>
      <c r="B61" s="1" t="s">
        <v>47</v>
      </c>
      <c r="C61" s="1" t="s">
        <v>48</v>
      </c>
    </row>
    <row r="62" spans="1:3" x14ac:dyDescent="0.3">
      <c r="B62" s="2">
        <v>0</v>
      </c>
      <c r="C62" s="7">
        <v>0.05</v>
      </c>
    </row>
    <row r="63" spans="1:3" x14ac:dyDescent="0.3">
      <c r="B63" s="2">
        <v>20000</v>
      </c>
      <c r="C63" s="7">
        <v>0.1</v>
      </c>
    </row>
    <row r="64" spans="1:3" x14ac:dyDescent="0.3">
      <c r="B64" s="2">
        <v>50000</v>
      </c>
      <c r="C64" s="7">
        <v>0.15</v>
      </c>
    </row>
    <row r="65" spans="1:5" x14ac:dyDescent="0.3">
      <c r="B65" s="2">
        <v>80000</v>
      </c>
      <c r="C65" s="7">
        <v>0.2</v>
      </c>
    </row>
    <row r="67" spans="1:5" x14ac:dyDescent="0.3">
      <c r="A67" t="s">
        <v>38</v>
      </c>
      <c r="B67">
        <f>VLOOKUP(45000,B62:C65,TRUE)</f>
        <v>20000</v>
      </c>
    </row>
    <row r="69" spans="1:5" x14ac:dyDescent="0.3">
      <c r="A69" t="s">
        <v>51</v>
      </c>
      <c r="B69" t="s">
        <v>52</v>
      </c>
    </row>
    <row r="71" spans="1:5" x14ac:dyDescent="0.3">
      <c r="B71" s="1" t="s">
        <v>53</v>
      </c>
      <c r="C71" s="1" t="s">
        <v>54</v>
      </c>
      <c r="D71" s="1" t="s">
        <v>55</v>
      </c>
      <c r="E71" s="5"/>
    </row>
    <row r="72" spans="1:5" x14ac:dyDescent="0.3">
      <c r="B72" s="2" t="s">
        <v>56</v>
      </c>
      <c r="C72" s="2">
        <v>10</v>
      </c>
      <c r="D72" s="2">
        <v>12</v>
      </c>
      <c r="E72" s="5"/>
    </row>
    <row r="73" spans="1:5" x14ac:dyDescent="0.3">
      <c r="B73" s="2" t="s">
        <v>57</v>
      </c>
      <c r="C73" s="2">
        <v>10</v>
      </c>
      <c r="D73" s="2">
        <v>15</v>
      </c>
      <c r="E73" s="5"/>
    </row>
    <row r="74" spans="1:5" x14ac:dyDescent="0.3">
      <c r="B74" s="2" t="s">
        <v>58</v>
      </c>
      <c r="C74" s="2">
        <v>8</v>
      </c>
      <c r="D74" s="2">
        <v>12</v>
      </c>
      <c r="E74" s="5"/>
    </row>
    <row r="76" spans="1:5" x14ac:dyDescent="0.3">
      <c r="A76" t="s">
        <v>59</v>
      </c>
    </row>
    <row r="78" spans="1:5" x14ac:dyDescent="0.3">
      <c r="A78" t="s">
        <v>60</v>
      </c>
    </row>
    <row r="80" spans="1:5" x14ac:dyDescent="0.3">
      <c r="A80" t="s">
        <v>61</v>
      </c>
    </row>
    <row r="82" spans="1:5" x14ac:dyDescent="0.3">
      <c r="A82" t="s">
        <v>38</v>
      </c>
      <c r="B82" s="1" t="s">
        <v>53</v>
      </c>
      <c r="C82" s="1" t="s">
        <v>54</v>
      </c>
      <c r="D82" s="1" t="s">
        <v>55</v>
      </c>
      <c r="E82" s="2"/>
    </row>
    <row r="83" spans="1:5" x14ac:dyDescent="0.3">
      <c r="B83" s="2" t="s">
        <v>56</v>
      </c>
      <c r="C83" s="2">
        <v>10</v>
      </c>
      <c r="D83" s="2">
        <v>12</v>
      </c>
      <c r="E83" s="2" t="str">
        <f>IF(C83&gt;D83,"Exceeded","OK")</f>
        <v>OK</v>
      </c>
    </row>
    <row r="84" spans="1:5" x14ac:dyDescent="0.3">
      <c r="B84" s="2" t="s">
        <v>57</v>
      </c>
      <c r="C84" s="2">
        <v>10</v>
      </c>
      <c r="D84" s="2">
        <v>15</v>
      </c>
      <c r="E84" s="2" t="str">
        <f>IF(C84&gt;D84,"Exceeded","OK")</f>
        <v>OK</v>
      </c>
    </row>
    <row r="85" spans="1:5" x14ac:dyDescent="0.3">
      <c r="B85" s="2" t="s">
        <v>58</v>
      </c>
      <c r="C85" s="2">
        <v>8</v>
      </c>
      <c r="D85" s="2">
        <v>12</v>
      </c>
      <c r="E85" s="2" t="str">
        <f t="shared" ref="E85" si="3">IF(C85&gt;D85,"Exceeded","OK")</f>
        <v>OK</v>
      </c>
    </row>
    <row r="89" spans="1:5" x14ac:dyDescent="0.3">
      <c r="A89" t="s">
        <v>62</v>
      </c>
      <c r="B89" t="s">
        <v>63</v>
      </c>
    </row>
    <row r="91" spans="1:5" x14ac:dyDescent="0.3">
      <c r="B91" s="1" t="s">
        <v>25</v>
      </c>
      <c r="C91" s="1" t="s">
        <v>64</v>
      </c>
    </row>
    <row r="92" spans="1:5" x14ac:dyDescent="0.3">
      <c r="B92" s="2" t="s">
        <v>31</v>
      </c>
      <c r="C92" s="2">
        <v>55000</v>
      </c>
    </row>
    <row r="93" spans="1:5" x14ac:dyDescent="0.3">
      <c r="B93" s="2" t="s">
        <v>65</v>
      </c>
      <c r="C93" s="2">
        <v>72000</v>
      </c>
    </row>
    <row r="94" spans="1:5" x14ac:dyDescent="0.3">
      <c r="B94" s="2" t="s">
        <v>66</v>
      </c>
      <c r="C94" s="2">
        <v>62000</v>
      </c>
    </row>
    <row r="95" spans="1:5" x14ac:dyDescent="0.3">
      <c r="B95" s="2" t="s">
        <v>29</v>
      </c>
      <c r="C95" s="2">
        <v>41000</v>
      </c>
    </row>
    <row r="97" spans="1:3" x14ac:dyDescent="0.3">
      <c r="A97" t="s">
        <v>67</v>
      </c>
      <c r="B97">
        <f>INDEX(C92:C95,MATCH("E105",B92:B95,0))</f>
        <v>72000</v>
      </c>
    </row>
    <row r="99" spans="1:3" x14ac:dyDescent="0.3">
      <c r="A99" t="s">
        <v>68</v>
      </c>
      <c r="B99" t="s">
        <v>69</v>
      </c>
    </row>
    <row r="101" spans="1:3" x14ac:dyDescent="0.3">
      <c r="B101" s="1" t="s">
        <v>25</v>
      </c>
      <c r="C101" s="1" t="s">
        <v>27</v>
      </c>
    </row>
    <row r="102" spans="1:3" x14ac:dyDescent="0.3">
      <c r="B102" s="2" t="s">
        <v>28</v>
      </c>
      <c r="C102" s="2" t="s">
        <v>35</v>
      </c>
    </row>
    <row r="103" spans="1:3" x14ac:dyDescent="0.3">
      <c r="B103" s="2" t="s">
        <v>70</v>
      </c>
      <c r="C103" s="2" t="s">
        <v>34</v>
      </c>
    </row>
    <row r="104" spans="1:3" x14ac:dyDescent="0.3">
      <c r="B104" s="2" t="s">
        <v>66</v>
      </c>
      <c r="C104" s="2" t="s">
        <v>11</v>
      </c>
    </row>
    <row r="105" spans="1:3" x14ac:dyDescent="0.3">
      <c r="B105" s="2" t="s">
        <v>71</v>
      </c>
      <c r="C105" s="2" t="s">
        <v>36</v>
      </c>
    </row>
    <row r="107" spans="1:3" x14ac:dyDescent="0.3">
      <c r="A107" t="s">
        <v>67</v>
      </c>
      <c r="B107" t="str">
        <f>_xlfn.XLOOKUP("E303",B102:B105,C102:C105,0)</f>
        <v>IT</v>
      </c>
    </row>
  </sheetData>
  <mergeCells count="2">
    <mergeCell ref="B1:Q1"/>
    <mergeCell ref="U12:AM1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kumar</dc:creator>
  <cp:lastModifiedBy>anant kumar</cp:lastModifiedBy>
  <dcterms:created xsi:type="dcterms:W3CDTF">2025-12-14T07:54:55Z</dcterms:created>
  <dcterms:modified xsi:type="dcterms:W3CDTF">2025-12-15T09:37:47Z</dcterms:modified>
</cp:coreProperties>
</file>
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G:\My Drive\Excel assignment\"/>
    </mc:Choice>
  </mc:AlternateContent>
  <xr:revisionPtr revIDLastSave="0" documentId="13_ncr:2001_{1713BCD4-261F-44C9-8E92-FC6E3861E1F5}" xr6:coauthVersionLast="47" xr6:coauthVersionMax="47" xr10:uidLastSave="{00000000-0000-0000-0000-000000000000}"/>
  <bookViews>
    <workbookView xWindow="-108" yWindow="-108" windowWidth="23256" windowHeight="12456" xr2:uid="{78B5A60E-A074-4123-B0C6-4DC8CAB7EA46}"/>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9" i="1" l="1"/>
  <c r="B151" i="1"/>
  <c r="B150" i="1"/>
  <c r="B132" i="1"/>
  <c r="B130" i="1"/>
  <c r="B129" i="1"/>
  <c r="B128" i="1"/>
  <c r="B127" i="1"/>
  <c r="B126" i="1"/>
  <c r="B125" i="1"/>
  <c r="B123" i="1"/>
  <c r="C54" i="1"/>
  <c r="B39" i="1"/>
  <c r="B22" i="1"/>
</calcChain>
</file>

<file path=xl/sharedStrings.xml><?xml version="1.0" encoding="utf-8"?>
<sst xmlns="http://schemas.openxmlformats.org/spreadsheetml/2006/main" count="93" uniqueCount="85">
  <si>
    <t>Q1-Understanding Central Tendency</t>
  </si>
  <si>
    <t>A bakery tracks the daily sales of muffins(in dozens) over a week :(10,12,11,15,14,13,12).</t>
  </si>
  <si>
    <t>What is the most representative value of their weekly sales,aand why?</t>
  </si>
  <si>
    <t>Answer -  Mean=12.43</t>
  </si>
  <si>
    <t>median=12</t>
  </si>
  <si>
    <t>Mode=12</t>
  </si>
  <si>
    <t>The most representative value is the median(12) or mode (12) as both are cloe to th central tendency and the data has no extreme outliners.</t>
  </si>
  <si>
    <t>Q2-Mean in real life(Easy)</t>
  </si>
  <si>
    <t>A teacher records the marks of her students in a short quiz.[12,15,14,16,18,20,19].</t>
  </si>
  <si>
    <t>What is the mean score and what does it tell us about the class's performance?</t>
  </si>
  <si>
    <t>Answer-</t>
  </si>
  <si>
    <t>The mean score is 16.28571.</t>
  </si>
  <si>
    <t>the mean score tells you the average performance of the class.It gives a general idea of how the class did overall.</t>
  </si>
  <si>
    <t>Q3-Mode in real life(easy)</t>
  </si>
  <si>
    <t>A store records the shoe sizes sold in one  day;[7,8,9,8,8,10,7,9].</t>
  </si>
  <si>
    <t>What is the mode,and why is this information useful for the store manager?</t>
  </si>
  <si>
    <t>mode=</t>
  </si>
  <si>
    <t>Mode is the most frequently occuring value.</t>
  </si>
  <si>
    <t>With the help of mode store manager will get the idea of which shoe sizes are getting sold frequenttly and fast.</t>
  </si>
  <si>
    <t>Q4-Median in real life.</t>
  </si>
  <si>
    <t>A car dealer notes the prices of usedcars:[$8000,$9500,$10200,$11000,$50000].</t>
  </si>
  <si>
    <t>Why is the median a better measure than the mean in this case?Calculate the median.</t>
  </si>
  <si>
    <t>Median-</t>
  </si>
  <si>
    <t>The median is better because the data set has an outliner($50000),which skews the mean ,making the median a more representative"typical"value of car prices.</t>
  </si>
  <si>
    <t>Q5-</t>
  </si>
  <si>
    <t>Dispersion introduction-</t>
  </si>
  <si>
    <t>A student times how long it takesto finish a puzzle each day:[25,30,27,35,40].</t>
  </si>
  <si>
    <t>What does the range tell s about the variation in the student puzzle solving time?</t>
  </si>
  <si>
    <t>Minimum time=25</t>
  </si>
  <si>
    <t>Maximum time=40</t>
  </si>
  <si>
    <t>Range=40-25=15</t>
  </si>
  <si>
    <t>The range tells us about the spread of the data.The student solving time varies by 15 units from the fastest to the slowest day,indicating the overall variation in performance.</t>
  </si>
  <si>
    <t>Q6-</t>
  </si>
  <si>
    <t>A farmer records the weekly weight of harvested apples(kg):[100,105,98,110,120]</t>
  </si>
  <si>
    <t>Find the range.How can this help the farmer in planning his packaging?</t>
  </si>
  <si>
    <t>Range-</t>
  </si>
  <si>
    <t>Answer</t>
  </si>
  <si>
    <t>Minimum weight-98</t>
  </si>
  <si>
    <t>Maximum weight-120</t>
  </si>
  <si>
    <t>Range=120-98=22</t>
  </si>
  <si>
    <t>The 22 kg range tells the farmer how much apple weights vary(from 98kg to 120kg).This will help the farmer  to ensure containers can handel the heaviest(120 kg) apples.</t>
  </si>
  <si>
    <t>Q7-</t>
  </si>
  <si>
    <t>Variance for Decision-Making (Medium) </t>
  </si>
  <si>
    <t>Two delivery companies track delivery delays (in minutes).</t>
  </si>
  <si>
    <t>Company A: variance = 6</t>
  </si>
  <si>
    <t>Company B: variance = 15 </t>
  </si>
  <si>
    <t xml:space="preserve"> Which company is more consistent, and why? </t>
  </si>
  <si>
    <t>Company A is more consistent because it has a lower variance (6 vs 15).</t>
  </si>
  <si>
    <t>So, Company A’s deliveries are more reliable (less fluctuation in delays).</t>
  </si>
  <si>
    <t xml:space="preserve"> Lower variance = delays are more predictable, less spread out.</t>
  </si>
  <si>
    <t>Higher variance = delays are more erratic, harder to plan for.</t>
  </si>
  <si>
    <t>Q8-</t>
  </si>
  <si>
    <t>Standard Deviation in Context (Hard) </t>
  </si>
  <si>
    <t>A finance student compares the daily price fluctuations of two cryptocurrencies.</t>
  </si>
  <si>
    <t>Coin A: standard deviation = $30</t>
  </si>
  <si>
    <t>Coin B: standard deviation = $120 </t>
  </si>
  <si>
    <t xml:space="preserve"> Which coin is riskier to invest in, and why? </t>
  </si>
  <si>
    <t>Coin B is riskier because it has a higher standard deviation ($120 vs $30).</t>
  </si>
  <si>
    <t>Investors often see high SD as higher risk (potential for big losses or gains).</t>
  </si>
  <si>
    <t xml:space="preserve"> Higher SD = Price fluctuates more wildly → bigger ups/downs.</t>
  </si>
  <si>
    <t xml:space="preserve"> Lower SD = Price is more stable → less volatility.</t>
  </si>
  <si>
    <t>Q9-</t>
  </si>
  <si>
    <t>A family records their monthly electricity usage (in kWh): [400, 420, 390, 450, 410].</t>
  </si>
  <si>
    <t>Find the mean and standard deviation. What do these values together tell you about the family’s energy use </t>
  </si>
  <si>
    <t>pattern? </t>
  </si>
  <si>
    <t>MEAN-</t>
  </si>
  <si>
    <t>SD-</t>
  </si>
  <si>
    <t>TO FIND OUT THE STANDADRD DEVIATION(VALUE-MEAN)</t>
  </si>
  <si>
    <t>DEVIATION=</t>
  </si>
  <si>
    <t>Q10-</t>
  </si>
  <si>
    <t>These values tells about the -</t>
  </si>
  <si>
    <t>The SD = 20.6 kWh means the family's monthly electricity usage typically varies by about 20.6 kWh from the average (414 kWh).</t>
  </si>
  <si>
    <t>Practical Application (Hard) </t>
  </si>
  <si>
    <t>A basketball player’s points in 8 games are recorded: [15, 18, 20, 22, 25, 17, 19, 21]. </t>
  </si>
  <si>
    <t xml:space="preserve">Find the mean, median, mode, range, and standard deviation. What insights can these measures provide </t>
  </si>
  <si>
    <t>about the player’s scoring performance?</t>
  </si>
  <si>
    <t>MEDIAN-</t>
  </si>
  <si>
    <t>MODE-</t>
  </si>
  <si>
    <t>NO MODE IS IN THE DATA BECAUSE EVERY  VALUE APPEARS ONLY ONCE.</t>
  </si>
  <si>
    <t>RANGE-</t>
  </si>
  <si>
    <t>HIGHEST POINT=25</t>
  </si>
  <si>
    <t>LOWEST POINT=15</t>
  </si>
  <si>
    <t>25-15=10</t>
  </si>
  <si>
    <t>STANDARD DEVIATION-</t>
  </si>
  <si>
    <t>The measures indicate the player averages about 19.625 points per game with a typical spread (standard deviation) of 3.116, showing moderate consistency. The median 19.5 suggests the middle performance, and the range of 10 indicates variability between the lowest and highest scores. No mode implies each game score is 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</si>
</sst>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4FD2-952E-46F5-9FD8-352CB5C41EFE}">
  <dimension ref="A1:E161"/>
  <sheetViews>
    <sheetView tabSelected="1" topLeftCell="A100" workbookViewId="0">
      <selection activeCell="G162" sqref="G162"/>
    </sheetView>
  </sheetViews>
  <sheetFormatPr defaultRowHeight="14.4" x14ac:dyDescent="0.3"/>
  <sheetData>
    <row r="1" spans="1:2" x14ac:dyDescent="0.3">
      <c r="A1" t="s">
        <v>0</v>
      </c>
    </row>
    <row r="2" spans="1:2" x14ac:dyDescent="0.3">
      <c r="A2" t="s">
        <v>1</v>
      </c>
    </row>
    <row r="3" spans="1:2" x14ac:dyDescent="0.3">
      <c r="A3" t="s">
        <v>2</v>
      </c>
    </row>
    <row r="4" spans="1:2" x14ac:dyDescent="0.3">
      <c r="A4" t="s">
        <v>3</v>
      </c>
    </row>
    <row r="5" spans="1:2" x14ac:dyDescent="0.3">
      <c r="B5" t="s">
        <v>4</v>
      </c>
    </row>
    <row r="6" spans="1:2" x14ac:dyDescent="0.3">
      <c r="B6" t="s">
        <v>5</v>
      </c>
    </row>
    <row r="8" spans="1:2" x14ac:dyDescent="0.3">
      <c r="A8" t="s">
        <v>6</v>
      </c>
    </row>
    <row r="11" spans="1:2" x14ac:dyDescent="0.3">
      <c r="A11" t="s">
        <v>7</v>
      </c>
    </row>
    <row r="12" spans="1:2" x14ac:dyDescent="0.3">
      <c r="A12" t="s">
        <v>8</v>
      </c>
    </row>
    <row r="13" spans="1:2" x14ac:dyDescent="0.3">
      <c r="A13" t="s">
        <v>9</v>
      </c>
    </row>
    <row r="15" spans="1:2" x14ac:dyDescent="0.3">
      <c r="A15" t="s">
        <v>10</v>
      </c>
      <c r="B15">
        <v>12</v>
      </c>
    </row>
    <row r="16" spans="1:2" x14ac:dyDescent="0.3">
      <c r="B16">
        <v>15</v>
      </c>
    </row>
    <row r="17" spans="1:2" x14ac:dyDescent="0.3">
      <c r="B17">
        <v>14</v>
      </c>
    </row>
    <row r="18" spans="1:2" x14ac:dyDescent="0.3">
      <c r="B18">
        <v>16</v>
      </c>
    </row>
    <row r="19" spans="1:2" x14ac:dyDescent="0.3">
      <c r="B19">
        <v>18</v>
      </c>
    </row>
    <row r="20" spans="1:2" x14ac:dyDescent="0.3">
      <c r="B20">
        <v>20</v>
      </c>
    </row>
    <row r="21" spans="1:2" x14ac:dyDescent="0.3">
      <c r="B21">
        <v>19</v>
      </c>
    </row>
    <row r="22" spans="1:2" x14ac:dyDescent="0.3">
      <c r="B22">
        <f>AVERAGE(B15:B21)</f>
        <v>16.285714285714285</v>
      </c>
    </row>
    <row r="23" spans="1:2" x14ac:dyDescent="0.3">
      <c r="A23" t="s">
        <v>11</v>
      </c>
    </row>
    <row r="24" spans="1:2" x14ac:dyDescent="0.3">
      <c r="A24" t="s">
        <v>12</v>
      </c>
    </row>
    <row r="27" spans="1:2" x14ac:dyDescent="0.3">
      <c r="A27" t="s">
        <v>13</v>
      </c>
    </row>
    <row r="28" spans="1:2" x14ac:dyDescent="0.3">
      <c r="A28" t="s">
        <v>14</v>
      </c>
    </row>
    <row r="29" spans="1:2" x14ac:dyDescent="0.3">
      <c r="A29" t="s">
        <v>15</v>
      </c>
    </row>
    <row r="31" spans="1:2" x14ac:dyDescent="0.3">
      <c r="A31" t="s">
        <v>10</v>
      </c>
      <c r="B31">
        <v>7</v>
      </c>
    </row>
    <row r="32" spans="1:2" x14ac:dyDescent="0.3">
      <c r="B32">
        <v>8</v>
      </c>
    </row>
    <row r="33" spans="1:2" x14ac:dyDescent="0.3">
      <c r="B33">
        <v>9</v>
      </c>
    </row>
    <row r="34" spans="1:2" x14ac:dyDescent="0.3">
      <c r="B34">
        <v>8</v>
      </c>
    </row>
    <row r="35" spans="1:2" x14ac:dyDescent="0.3">
      <c r="B35">
        <v>8</v>
      </c>
    </row>
    <row r="36" spans="1:2" x14ac:dyDescent="0.3">
      <c r="B36">
        <v>10</v>
      </c>
    </row>
    <row r="37" spans="1:2" x14ac:dyDescent="0.3">
      <c r="B37">
        <v>7</v>
      </c>
    </row>
    <row r="38" spans="1:2" x14ac:dyDescent="0.3">
      <c r="B38">
        <v>9</v>
      </c>
    </row>
    <row r="39" spans="1:2" x14ac:dyDescent="0.3">
      <c r="A39" t="s">
        <v>16</v>
      </c>
      <c r="B39">
        <f>_xlfn.MODE.SNGL(B31:B38)</f>
        <v>8</v>
      </c>
    </row>
    <row r="41" spans="1:2" x14ac:dyDescent="0.3">
      <c r="B41" t="s">
        <v>17</v>
      </c>
    </row>
    <row r="42" spans="1:2" x14ac:dyDescent="0.3">
      <c r="B42" t="s">
        <v>18</v>
      </c>
    </row>
    <row r="45" spans="1:2" x14ac:dyDescent="0.3">
      <c r="A45" t="s">
        <v>19</v>
      </c>
    </row>
    <row r="46" spans="1:2" x14ac:dyDescent="0.3">
      <c r="A46" t="s">
        <v>20</v>
      </c>
    </row>
    <row r="47" spans="1:2" x14ac:dyDescent="0.3">
      <c r="A47" t="s">
        <v>21</v>
      </c>
    </row>
    <row r="49" spans="1:3" x14ac:dyDescent="0.3">
      <c r="A49" t="s">
        <v>10</v>
      </c>
      <c r="C49">
        <v>8000</v>
      </c>
    </row>
    <row r="50" spans="1:3" x14ac:dyDescent="0.3">
      <c r="C50">
        <v>9500</v>
      </c>
    </row>
    <row r="51" spans="1:3" x14ac:dyDescent="0.3">
      <c r="C51">
        <v>10200</v>
      </c>
    </row>
    <row r="52" spans="1:3" x14ac:dyDescent="0.3">
      <c r="C52">
        <v>11000</v>
      </c>
    </row>
    <row r="53" spans="1:3" x14ac:dyDescent="0.3">
      <c r="C53">
        <v>50000</v>
      </c>
    </row>
    <row r="54" spans="1:3" x14ac:dyDescent="0.3">
      <c r="B54" t="s">
        <v>22</v>
      </c>
      <c r="C54">
        <f>MEDIAN(C49:C53)</f>
        <v>10200</v>
      </c>
    </row>
    <row r="56" spans="1:3" x14ac:dyDescent="0.3">
      <c r="B56" t="s">
        <v>23</v>
      </c>
    </row>
    <row r="58" spans="1:3" x14ac:dyDescent="0.3">
      <c r="A58" t="s">
        <v>24</v>
      </c>
      <c r="B58" t="s">
        <v>25</v>
      </c>
    </row>
    <row r="60" spans="1:3" x14ac:dyDescent="0.3">
      <c r="A60" t="s">
        <v>26</v>
      </c>
    </row>
    <row r="61" spans="1:3" x14ac:dyDescent="0.3">
      <c r="A61" t="s">
        <v>27</v>
      </c>
    </row>
    <row r="63" spans="1:3" x14ac:dyDescent="0.3">
      <c r="A63" t="s">
        <v>10</v>
      </c>
      <c r="B63">
        <v>25</v>
      </c>
    </row>
    <row r="64" spans="1:3" x14ac:dyDescent="0.3">
      <c r="B64">
        <v>30</v>
      </c>
    </row>
    <row r="65" spans="1:3" x14ac:dyDescent="0.3">
      <c r="B65">
        <v>27</v>
      </c>
    </row>
    <row r="66" spans="1:3" x14ac:dyDescent="0.3">
      <c r="B66">
        <v>35</v>
      </c>
    </row>
    <row r="67" spans="1:3" x14ac:dyDescent="0.3">
      <c r="B67">
        <v>40</v>
      </c>
    </row>
    <row r="68" spans="1:3" x14ac:dyDescent="0.3">
      <c r="B68" t="s">
        <v>28</v>
      </c>
    </row>
    <row r="69" spans="1:3" x14ac:dyDescent="0.3">
      <c r="B69" t="s">
        <v>29</v>
      </c>
    </row>
    <row r="70" spans="1:3" x14ac:dyDescent="0.3">
      <c r="B70" t="s">
        <v>30</v>
      </c>
    </row>
    <row r="71" spans="1:3" x14ac:dyDescent="0.3">
      <c r="B71" t="s">
        <v>31</v>
      </c>
    </row>
    <row r="73" spans="1:3" x14ac:dyDescent="0.3">
      <c r="A73" t="s">
        <v>32</v>
      </c>
      <c r="B73" t="s">
        <v>33</v>
      </c>
    </row>
    <row r="74" spans="1:3" x14ac:dyDescent="0.3">
      <c r="B74" t="s">
        <v>34</v>
      </c>
    </row>
    <row r="76" spans="1:3" x14ac:dyDescent="0.3">
      <c r="A76" t="s">
        <v>36</v>
      </c>
      <c r="B76" t="s">
        <v>35</v>
      </c>
      <c r="C76" t="s">
        <v>37</v>
      </c>
    </row>
    <row r="77" spans="1:3" x14ac:dyDescent="0.3">
      <c r="C77" t="s">
        <v>38</v>
      </c>
    </row>
    <row r="78" spans="1:3" x14ac:dyDescent="0.3">
      <c r="C78" t="s">
        <v>39</v>
      </c>
    </row>
    <row r="79" spans="1:3" x14ac:dyDescent="0.3">
      <c r="B79" t="s">
        <v>40</v>
      </c>
    </row>
    <row r="81" spans="1:2" x14ac:dyDescent="0.3">
      <c r="A81" t="s">
        <v>41</v>
      </c>
      <c r="B81" t="s">
        <v>42</v>
      </c>
    </row>
    <row r="82" spans="1:2" x14ac:dyDescent="0.3">
      <c r="B82" t="s">
        <v>43</v>
      </c>
    </row>
    <row r="84" spans="1:2" x14ac:dyDescent="0.3">
      <c r="B84" t="s">
        <v>44</v>
      </c>
    </row>
    <row r="86" spans="1:2" x14ac:dyDescent="0.3">
      <c r="B86" t="s">
        <v>45</v>
      </c>
    </row>
    <row r="87" spans="1:2" x14ac:dyDescent="0.3">
      <c r="B87" t="s">
        <v>46</v>
      </c>
    </row>
    <row r="89" spans="1:2" x14ac:dyDescent="0.3">
      <c r="A89" t="s">
        <v>36</v>
      </c>
      <c r="B89" t="s">
        <v>47</v>
      </c>
    </row>
    <row r="92" spans="1:2" x14ac:dyDescent="0.3">
      <c r="B92" t="s">
        <v>49</v>
      </c>
    </row>
    <row r="93" spans="1:2" x14ac:dyDescent="0.3">
      <c r="B93" t="s">
        <v>50</v>
      </c>
    </row>
    <row r="95" spans="1:2" x14ac:dyDescent="0.3">
      <c r="B95" t="s">
        <v>48</v>
      </c>
    </row>
    <row r="98" spans="1:2" x14ac:dyDescent="0.3">
      <c r="A98" t="s">
        <v>51</v>
      </c>
      <c r="B98" t="s">
        <v>52</v>
      </c>
    </row>
    <row r="99" spans="1:2" x14ac:dyDescent="0.3">
      <c r="B99" t="s">
        <v>53</v>
      </c>
    </row>
    <row r="101" spans="1:2" x14ac:dyDescent="0.3">
      <c r="B101" t="s">
        <v>54</v>
      </c>
    </row>
    <row r="103" spans="1:2" x14ac:dyDescent="0.3">
      <c r="B103" t="s">
        <v>55</v>
      </c>
    </row>
    <row r="104" spans="1:2" x14ac:dyDescent="0.3">
      <c r="B104" t="s">
        <v>56</v>
      </c>
    </row>
    <row r="106" spans="1:2" x14ac:dyDescent="0.3">
      <c r="A106" t="s">
        <v>10</v>
      </c>
      <c r="B106" t="s">
        <v>57</v>
      </c>
    </row>
    <row r="108" spans="1:2" x14ac:dyDescent="0.3">
      <c r="B108" t="s">
        <v>59</v>
      </c>
    </row>
    <row r="109" spans="1:2" x14ac:dyDescent="0.3">
      <c r="B109" t="s">
        <v>60</v>
      </c>
    </row>
    <row r="111" spans="1:2" x14ac:dyDescent="0.3">
      <c r="B111" t="s">
        <v>58</v>
      </c>
    </row>
    <row r="114" spans="1:4" x14ac:dyDescent="0.3">
      <c r="A114" s="1" t="s">
        <v>61</v>
      </c>
      <c r="B114" t="s">
        <v>62</v>
      </c>
    </row>
    <row r="115" spans="1:4" x14ac:dyDescent="0.3">
      <c r="B115" t="s">
        <v>63</v>
      </c>
    </row>
    <row r="116" spans="1:4" x14ac:dyDescent="0.3">
      <c r="B116" t="s">
        <v>64</v>
      </c>
    </row>
    <row r="118" spans="1:4" x14ac:dyDescent="0.3">
      <c r="A118" t="s">
        <v>10</v>
      </c>
      <c r="B118">
        <v>400</v>
      </c>
    </row>
    <row r="119" spans="1:4" x14ac:dyDescent="0.3">
      <c r="B119">
        <v>420</v>
      </c>
    </row>
    <row r="120" spans="1:4" x14ac:dyDescent="0.3">
      <c r="B120">
        <v>390</v>
      </c>
    </row>
    <row r="121" spans="1:4" x14ac:dyDescent="0.3">
      <c r="B121">
        <v>450</v>
      </c>
    </row>
    <row r="122" spans="1:4" x14ac:dyDescent="0.3">
      <c r="B122">
        <v>410</v>
      </c>
    </row>
    <row r="123" spans="1:4" x14ac:dyDescent="0.3">
      <c r="A123" t="s">
        <v>65</v>
      </c>
      <c r="B123">
        <f>AVERAGE(B118:B122)</f>
        <v>414</v>
      </c>
    </row>
    <row r="125" spans="1:4" x14ac:dyDescent="0.3">
      <c r="A125" t="s">
        <v>68</v>
      </c>
      <c r="B125">
        <f>400-414</f>
        <v>-14</v>
      </c>
      <c r="D125" t="s">
        <v>67</v>
      </c>
    </row>
    <row r="126" spans="1:4" x14ac:dyDescent="0.3">
      <c r="B126">
        <f>420-414</f>
        <v>6</v>
      </c>
    </row>
    <row r="127" spans="1:4" x14ac:dyDescent="0.3">
      <c r="B127">
        <f>390-414</f>
        <v>-24</v>
      </c>
    </row>
    <row r="128" spans="1:4" x14ac:dyDescent="0.3">
      <c r="B128">
        <f>450-410</f>
        <v>40</v>
      </c>
    </row>
    <row r="129" spans="1:5" x14ac:dyDescent="0.3">
      <c r="B129">
        <f>410-414</f>
        <v>-4</v>
      </c>
    </row>
    <row r="130" spans="1:5" x14ac:dyDescent="0.3">
      <c r="B130">
        <f>414-414</f>
        <v>0</v>
      </c>
    </row>
    <row r="132" spans="1:5" x14ac:dyDescent="0.3">
      <c r="A132" t="s">
        <v>66</v>
      </c>
      <c r="B132">
        <f>STDEV(B118:B123)</f>
        <v>20.591260281974002</v>
      </c>
    </row>
    <row r="134" spans="1:5" x14ac:dyDescent="0.3">
      <c r="B134" t="s">
        <v>70</v>
      </c>
      <c r="E134" t="s">
        <v>71</v>
      </c>
    </row>
    <row r="137" spans="1:5" x14ac:dyDescent="0.3">
      <c r="A137" t="s">
        <v>69</v>
      </c>
      <c r="B137" t="s">
        <v>72</v>
      </c>
    </row>
    <row r="138" spans="1:5" x14ac:dyDescent="0.3">
      <c r="B138" t="s">
        <v>73</v>
      </c>
    </row>
    <row r="139" spans="1:5" x14ac:dyDescent="0.3">
      <c r="B139" t="s">
        <v>74</v>
      </c>
    </row>
    <row r="140" spans="1:5" x14ac:dyDescent="0.3">
      <c r="B140" t="s">
        <v>75</v>
      </c>
    </row>
    <row r="142" spans="1:5" x14ac:dyDescent="0.3">
      <c r="B142">
        <v>15</v>
      </c>
    </row>
    <row r="143" spans="1:5" x14ac:dyDescent="0.3">
      <c r="B143">
        <v>18</v>
      </c>
    </row>
    <row r="144" spans="1:5" x14ac:dyDescent="0.3">
      <c r="B144">
        <v>20</v>
      </c>
    </row>
    <row r="145" spans="1:3" x14ac:dyDescent="0.3">
      <c r="B145">
        <v>22</v>
      </c>
    </row>
    <row r="146" spans="1:3" x14ac:dyDescent="0.3">
      <c r="B146">
        <v>25</v>
      </c>
    </row>
    <row r="147" spans="1:3" x14ac:dyDescent="0.3">
      <c r="B147">
        <v>17</v>
      </c>
    </row>
    <row r="148" spans="1:3" x14ac:dyDescent="0.3">
      <c r="B148">
        <v>19</v>
      </c>
    </row>
    <row r="149" spans="1:3" x14ac:dyDescent="0.3">
      <c r="B149">
        <v>21</v>
      </c>
    </row>
    <row r="150" spans="1:3" x14ac:dyDescent="0.3">
      <c r="A150" t="s">
        <v>65</v>
      </c>
      <c r="B150">
        <f>AVERAGE(B142:B149)</f>
        <v>19.625</v>
      </c>
    </row>
    <row r="151" spans="1:3" x14ac:dyDescent="0.3">
      <c r="A151" t="s">
        <v>76</v>
      </c>
      <c r="B151">
        <f>MEDIAN(B142:B149)</f>
        <v>19.5</v>
      </c>
    </row>
    <row r="152" spans="1:3" x14ac:dyDescent="0.3">
      <c r="A152" t="s">
        <v>77</v>
      </c>
      <c r="B152" t="s">
        <v>78</v>
      </c>
    </row>
    <row r="154" spans="1:3" x14ac:dyDescent="0.3">
      <c r="A154" t="s">
        <v>79</v>
      </c>
      <c r="B154" t="s">
        <v>80</v>
      </c>
    </row>
    <row r="155" spans="1:3" x14ac:dyDescent="0.3">
      <c r="B155" t="s">
        <v>81</v>
      </c>
    </row>
    <row r="156" spans="1:3" x14ac:dyDescent="0.3">
      <c r="B156" t="s">
        <v>79</v>
      </c>
      <c r="C156" t="s">
        <v>82</v>
      </c>
    </row>
    <row r="158" spans="1:3" x14ac:dyDescent="0.3">
      <c r="A158" t="s">
        <v>83</v>
      </c>
    </row>
    <row r="159" spans="1:3" x14ac:dyDescent="0.3">
      <c r="C159">
        <f>STDEV(B142:B149)</f>
        <v>3.1139088893910452</v>
      </c>
    </row>
    <row r="161" spans="2:2" x14ac:dyDescent="0.3">
      <c r="B16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kumar</dc:creator>
  <cp:lastModifiedBy>anant kumar</cp:lastModifiedBy>
  <dcterms:created xsi:type="dcterms:W3CDTF">2025-12-22T06:47:40Z</dcterms:created>
  <dcterms:modified xsi:type="dcterms:W3CDTF">2025-12-23T15:54:36Z</dcterms:modified>
</cp:coreProperties>
</file>